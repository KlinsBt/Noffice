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lins\Desktop\Noffice\tests\fixtures\"/>
    </mc:Choice>
  </mc:AlternateContent>
  <bookViews>
    <workbookView xWindow="0" yWindow="0" windowWidth="16185" windowHeight="8235"/>
  </bookViews>
  <sheets>
    <sheet name="Data Set" sheetId="1" r:id="rId1"/>
  </sheets>
  <definedNames>
    <definedName name="Amounts">'Data Set'!$A$2:$A$8</definedName>
    <definedName name="Flag">TRUE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4" i="1" l="1"/>
  <c r="E111" i="1"/>
  <c r="E110" i="1"/>
  <c r="E108" i="1"/>
  <c r="E106" i="1"/>
  <c r="E105" i="1"/>
  <c r="E104" i="1"/>
  <c r="E103" i="1"/>
  <c r="E102" i="1"/>
  <c r="E101" i="1"/>
  <c r="E100" i="1"/>
  <c r="E99" i="1"/>
  <c r="E98" i="1"/>
  <c r="E97" i="1"/>
  <c r="E96" i="1"/>
  <c r="E95" i="1"/>
  <c r="E92" i="1"/>
  <c r="E91" i="1"/>
  <c r="E90" i="1"/>
  <c r="E88" i="1"/>
  <c r="E87" i="1"/>
  <c r="E86" i="1"/>
  <c r="E85" i="1"/>
  <c r="E84" i="1"/>
  <c r="E83" i="1"/>
  <c r="E82" i="1"/>
  <c r="E73" i="1"/>
  <c r="E72" i="1"/>
  <c r="E71" i="1"/>
  <c r="E70" i="1"/>
  <c r="E69" i="1"/>
  <c r="E68" i="1"/>
  <c r="E67" i="1"/>
  <c r="E66" i="1"/>
  <c r="E57" i="1"/>
  <c r="E56" i="1"/>
  <c r="E55" i="1"/>
  <c r="E54" i="1"/>
  <c r="E53" i="1"/>
  <c r="E52" i="1"/>
  <c r="E51" i="1"/>
  <c r="E50" i="1"/>
  <c r="E41" i="1"/>
  <c r="E40" i="1"/>
  <c r="E39" i="1"/>
  <c r="E38" i="1"/>
  <c r="E37" i="1"/>
  <c r="E36" i="1"/>
  <c r="E35" i="1"/>
  <c r="E34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0" i="1"/>
  <c r="E9" i="1"/>
  <c r="E8" i="1"/>
  <c r="E7" i="1"/>
  <c r="E6" i="1"/>
  <c r="E5" i="1"/>
  <c r="E4" i="1"/>
  <c r="E3" i="1"/>
  <c r="E2" i="1"/>
  <c r="C2" i="1"/>
  <c r="E33" i="1" s="1"/>
  <c r="A9" i="1"/>
  <c r="A8" i="1"/>
  <c r="E16" i="1" s="1"/>
  <c r="A7" i="1"/>
  <c r="E81" i="1" s="1"/>
  <c r="E89" i="1"/>
  <c r="E107" i="1" l="1"/>
  <c r="E42" i="1"/>
  <c r="E11" i="1"/>
  <c r="E12" i="1"/>
  <c r="E109" i="1"/>
  <c r="E58" i="1"/>
  <c r="E43" i="1"/>
  <c r="E59" i="1"/>
  <c r="E75" i="1"/>
  <c r="E44" i="1"/>
  <c r="E60" i="1"/>
  <c r="E76" i="1"/>
  <c r="E93" i="1"/>
  <c r="E13" i="1"/>
  <c r="E45" i="1"/>
  <c r="E61" i="1"/>
  <c r="E77" i="1"/>
  <c r="E94" i="1"/>
  <c r="E14" i="1"/>
  <c r="E46" i="1"/>
  <c r="E78" i="1"/>
  <c r="E74" i="1"/>
  <c r="E15" i="1"/>
  <c r="E47" i="1"/>
  <c r="E63" i="1"/>
  <c r="E79" i="1"/>
  <c r="E112" i="1"/>
  <c r="E62" i="1"/>
  <c r="E113" i="1"/>
  <c r="E48" i="1"/>
  <c r="E64" i="1"/>
  <c r="E80" i="1"/>
  <c r="E1" i="1"/>
  <c r="E49" i="1"/>
  <c r="E65" i="1"/>
</calcChain>
</file>

<file path=xl/sharedStrings.xml><?xml version="1.0" encoding="utf-8"?>
<sst xmlns="http://schemas.openxmlformats.org/spreadsheetml/2006/main" count="2" uniqueCount="2">
  <si>
    <t>12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</si>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</sst>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4"/>
  <sheetViews>
    <sheetView tabSelected="1" workbookViewId="0"/>
  </sheetViews>
  <sheetFormatPr baseColWidth="10" defaultRowHeight="14.25" x14ac:dyDescent="0.45"/>
  <sheetData>
    <row r="1" spans="1:5" x14ac:dyDescent="0.45">
      <c r="B1">
        <v>1000000000001</v>
      </c>
      <c r="C1" s="1" t="s">
        <v>1</v>
      </c>
      <c r="E1">
        <f>VAR(A2:A8)</f>
        <v>6.333333333333333</v>
      </c>
    </row>
    <row r="2" spans="1:5" x14ac:dyDescent="0.45">
      <c r="A2">
        <v>2</v>
      </c>
      <c r="B2">
        <v>1000000000002</v>
      </c>
      <c r="C2" t="b">
        <f>FALSE()</f>
        <v>0</v>
      </c>
      <c r="E2">
        <f>_xlfn.VAR.S(A2:A8)</f>
        <v>6.333333333333333</v>
      </c>
    </row>
    <row r="3" spans="1:5" x14ac:dyDescent="0.45">
      <c r="A3">
        <v>4</v>
      </c>
      <c r="B3">
        <v>1000000000003</v>
      </c>
      <c r="E3">
        <f>VARP(A2:A8)</f>
        <v>4.75</v>
      </c>
    </row>
    <row r="4" spans="1:5" x14ac:dyDescent="0.45">
      <c r="A4">
        <v>4</v>
      </c>
      <c r="E4">
        <f>_xlfn.VAR.P(A2:A8)</f>
        <v>4.75</v>
      </c>
    </row>
    <row r="5" spans="1:5" x14ac:dyDescent="0.45">
      <c r="A5">
        <v>8</v>
      </c>
      <c r="E5">
        <f>STDEV(A2:A8)</f>
        <v>2.5166114784235831</v>
      </c>
    </row>
    <row r="6" spans="1:5" x14ac:dyDescent="0.45">
      <c r="A6" s="1" t="s">
        <v>0</v>
      </c>
      <c r="E6">
        <f>_xlfn.STDEV.S(A2:A8)</f>
        <v>2.5166114784235831</v>
      </c>
    </row>
    <row r="7" spans="1:5" x14ac:dyDescent="0.45">
      <c r="A7" t="b">
        <f>TRUE()</f>
        <v>1</v>
      </c>
      <c r="E7">
        <f>STDEVP(A2:A8)</f>
        <v>2.179449471770337</v>
      </c>
    </row>
    <row r="8" spans="1:5" x14ac:dyDescent="0.45">
      <c r="A8" t="str">
        <f>""</f>
        <v/>
      </c>
      <c r="E8">
        <f>_xlfn.STDEV.P(A2:A8)</f>
        <v>2.179449471770337</v>
      </c>
    </row>
    <row r="9" spans="1:5" x14ac:dyDescent="0.45">
      <c r="A9" t="e">
        <f>NA()</f>
        <v>#N/A</v>
      </c>
      <c r="E9">
        <f>MEDIAN(A2:A8)</f>
        <v>4</v>
      </c>
    </row>
    <row r="10" spans="1:5" x14ac:dyDescent="0.45">
      <c r="E10">
        <f>PRODUCT(A2:A8)</f>
        <v>256</v>
      </c>
    </row>
    <row r="11" spans="1:5" x14ac:dyDescent="0.45">
      <c r="E11">
        <f>GEOMEAN(A2:A8)</f>
        <v>4</v>
      </c>
    </row>
    <row r="12" spans="1:5" x14ac:dyDescent="0.45">
      <c r="E12">
        <f>HARMEAN(A2:A8)</f>
        <v>3.5555555555555554</v>
      </c>
    </row>
    <row r="13" spans="1:5" x14ac:dyDescent="0.45">
      <c r="E13">
        <f>DEVSQ(A2:A8)</f>
        <v>19</v>
      </c>
    </row>
    <row r="14" spans="1:5" x14ac:dyDescent="0.45">
      <c r="E14">
        <f>AVEDEV(A2:A8)</f>
        <v>1.75</v>
      </c>
    </row>
    <row r="15" spans="1:5" x14ac:dyDescent="0.45">
      <c r="E15">
        <f>MODE(A2:A8)</f>
        <v>4</v>
      </c>
    </row>
    <row r="16" spans="1:5" x14ac:dyDescent="0.45">
      <c r="E16">
        <f>_xlfn.MODE.SNGL(A2:A8)</f>
        <v>4</v>
      </c>
    </row>
    <row r="17" spans="5:5" x14ac:dyDescent="0.45">
      <c r="E17">
        <f>VAR(2,TRUE,"4")</f>
        <v>2.3333333333333339</v>
      </c>
    </row>
    <row r="18" spans="5:5" x14ac:dyDescent="0.45">
      <c r="E18">
        <f>_xlfn.VAR.S(2,TRUE,"4")</f>
        <v>2.3333333333333339</v>
      </c>
    </row>
    <row r="19" spans="5:5" x14ac:dyDescent="0.45">
      <c r="E19">
        <f>VARP(2,TRUE,"4")</f>
        <v>1.5555555555555556</v>
      </c>
    </row>
    <row r="20" spans="5:5" x14ac:dyDescent="0.45">
      <c r="E20">
        <f>_xlfn.VAR.P(2,TRUE,"4")</f>
        <v>1.5555555555555556</v>
      </c>
    </row>
    <row r="21" spans="5:5" x14ac:dyDescent="0.45">
      <c r="E21">
        <f>STDEV(2,TRUE,"4")</f>
        <v>1.5275252316519468</v>
      </c>
    </row>
    <row r="22" spans="5:5" x14ac:dyDescent="0.45">
      <c r="E22">
        <f>_xlfn.STDEV.S(2,TRUE,"4")</f>
        <v>1.5275252316519468</v>
      </c>
    </row>
    <row r="23" spans="5:5" x14ac:dyDescent="0.45">
      <c r="E23">
        <f>STDEVP(2,TRUE,"4")</f>
        <v>1.247219128924647</v>
      </c>
    </row>
    <row r="24" spans="5:5" x14ac:dyDescent="0.45">
      <c r="E24">
        <f>_xlfn.STDEV.P(2,TRUE,"4")</f>
        <v>1.247219128924647</v>
      </c>
    </row>
    <row r="25" spans="5:5" x14ac:dyDescent="0.45">
      <c r="E25">
        <f>MEDIAN(2,TRUE,"4")</f>
        <v>2</v>
      </c>
    </row>
    <row r="26" spans="5:5" x14ac:dyDescent="0.45">
      <c r="E26">
        <f>PRODUCT(2,TRUE,"4")</f>
        <v>8</v>
      </c>
    </row>
    <row r="27" spans="5:5" x14ac:dyDescent="0.45">
      <c r="E27">
        <f>GEOMEAN(2,TRUE,"4")</f>
        <v>2</v>
      </c>
    </row>
    <row r="28" spans="5:5" x14ac:dyDescent="0.45">
      <c r="E28">
        <f>HARMEAN(2,TRUE,"4")</f>
        <v>1.7142857142857142</v>
      </c>
    </row>
    <row r="29" spans="5:5" x14ac:dyDescent="0.45">
      <c r="E29">
        <f>DEVSQ(2,TRUE,"4")</f>
        <v>4.6666666666666661</v>
      </c>
    </row>
    <row r="30" spans="5:5" x14ac:dyDescent="0.45">
      <c r="E30">
        <f>AVEDEV(2,TRUE,"4")</f>
        <v>1.1111111111111112</v>
      </c>
    </row>
    <row r="31" spans="5:5" x14ac:dyDescent="0.45">
      <c r="E31" t="e">
        <f>MODE(2,TRUE,"4")</f>
        <v>#VALUE!</v>
      </c>
    </row>
    <row r="32" spans="5:5" x14ac:dyDescent="0.45">
      <c r="E32" t="e">
        <f>_xlfn.MODE.SNGL(2,TRUE,"4")</f>
        <v>#VALUE!</v>
      </c>
    </row>
    <row r="33" spans="5:5" x14ac:dyDescent="0.45">
      <c r="E33" t="e">
        <f>_xlfn.VAR.S(C1:C2)</f>
        <v>#DIV/0!</v>
      </c>
    </row>
    <row r="34" spans="5:5" x14ac:dyDescent="0.45">
      <c r="E34" t="e">
        <f>_xlfn.VAR.P(C1:C2)</f>
        <v>#DIV/0!</v>
      </c>
    </row>
    <row r="35" spans="5:5" x14ac:dyDescent="0.45">
      <c r="E35" t="e">
        <f>_xlfn.STDEV.S(C1:C2)</f>
        <v>#DIV/0!</v>
      </c>
    </row>
    <row r="36" spans="5:5" x14ac:dyDescent="0.45">
      <c r="E36" s="1" t="e">
        <f>MEDIAN(C1:C2)</f>
        <v>#NUM!</v>
      </c>
    </row>
    <row r="37" spans="5:5" x14ac:dyDescent="0.45">
      <c r="E37" t="e">
        <f>_xlfn.MODE.SNGL(C1:C2)</f>
        <v>#N/A</v>
      </c>
    </row>
    <row r="38" spans="5:5" x14ac:dyDescent="0.45">
      <c r="E38">
        <f>PRODUCT(C1:C2)</f>
        <v>0</v>
      </c>
    </row>
    <row r="39" spans="5:5" x14ac:dyDescent="0.45">
      <c r="E39" t="e">
        <f>GEOMEAN(C1:C2)</f>
        <v>#NUM!</v>
      </c>
    </row>
    <row r="40" spans="5:5" x14ac:dyDescent="0.45">
      <c r="E40">
        <f>SMALL(A2:A8,2)</f>
        <v>4</v>
      </c>
    </row>
    <row r="41" spans="5:5" x14ac:dyDescent="0.45">
      <c r="E41">
        <f>LARGE(A2:A8,2.3)</f>
        <v>4</v>
      </c>
    </row>
    <row r="42" spans="5:5" x14ac:dyDescent="0.45">
      <c r="E42" t="e">
        <f>SMALL(A2:A8,0.5)</f>
        <v>#NUM!</v>
      </c>
    </row>
    <row r="43" spans="5:5" x14ac:dyDescent="0.45">
      <c r="E43" t="e">
        <f>SMALL(A2:A8,0)</f>
        <v>#NUM!</v>
      </c>
    </row>
    <row r="44" spans="5:5" x14ac:dyDescent="0.45">
      <c r="E44" t="e">
        <f>LARGE(A2:A8,10)</f>
        <v>#NUM!</v>
      </c>
    </row>
    <row r="45" spans="5:5" x14ac:dyDescent="0.45">
      <c r="E45">
        <f>RANK(4,A2:A8)</f>
        <v>2</v>
      </c>
    </row>
    <row r="46" spans="5:5" x14ac:dyDescent="0.45">
      <c r="E46">
        <f>_xlfn.RANK.EQ(4,A2:A8,1)</f>
        <v>2</v>
      </c>
    </row>
    <row r="47" spans="5:5" x14ac:dyDescent="0.45">
      <c r="E47">
        <f>_xlfn.RANK.AVG(4,A2:A8)</f>
        <v>2.5</v>
      </c>
    </row>
    <row r="48" spans="5:5" x14ac:dyDescent="0.45">
      <c r="E48" t="e">
        <f>_xlfn.RANK.EQ(7,A2:A8)</f>
        <v>#N/A</v>
      </c>
    </row>
    <row r="49" spans="5:5" x14ac:dyDescent="0.45">
      <c r="E49">
        <f>PERCENTILE(A2:A8,0)</f>
        <v>2</v>
      </c>
    </row>
    <row r="50" spans="5:5" x14ac:dyDescent="0.45">
      <c r="E50">
        <f>PERCENTILE(A2:A8,0.1)</f>
        <v>2.6</v>
      </c>
    </row>
    <row r="51" spans="5:5" x14ac:dyDescent="0.45">
      <c r="E51">
        <f>PERCENTILE(A2:A8,0.25)</f>
        <v>3.5</v>
      </c>
    </row>
    <row r="52" spans="5:5" x14ac:dyDescent="0.45">
      <c r="E52">
        <f>PERCENTILE(A2:A8,0.5)</f>
        <v>4</v>
      </c>
    </row>
    <row r="53" spans="5:5" x14ac:dyDescent="0.45">
      <c r="E53">
        <f>PERCENTILE(A2:A8,0.9)</f>
        <v>6.8000000000000007</v>
      </c>
    </row>
    <row r="54" spans="5:5" x14ac:dyDescent="0.45">
      <c r="E54">
        <f>PERCENTILE(A2:A8,1)</f>
        <v>8</v>
      </c>
    </row>
    <row r="55" spans="5:5" x14ac:dyDescent="0.45">
      <c r="E55">
        <f>_xlfn.PERCENTILE.INC(A2:A8,0)</f>
        <v>2</v>
      </c>
    </row>
    <row r="56" spans="5:5" x14ac:dyDescent="0.45">
      <c r="E56">
        <f>_xlfn.PERCENTILE.INC(A2:A8,0.1)</f>
        <v>2.6</v>
      </c>
    </row>
    <row r="57" spans="5:5" x14ac:dyDescent="0.45">
      <c r="E57">
        <f>_xlfn.PERCENTILE.INC(A2:A8,0.25)</f>
        <v>3.5</v>
      </c>
    </row>
    <row r="58" spans="5:5" x14ac:dyDescent="0.45">
      <c r="E58">
        <f>_xlfn.PERCENTILE.INC(A2:A8,0.5)</f>
        <v>4</v>
      </c>
    </row>
    <row r="59" spans="5:5" x14ac:dyDescent="0.45">
      <c r="E59">
        <f>_xlfn.PERCENTILE.INC(A2:A8,0.9)</f>
        <v>6.8000000000000007</v>
      </c>
    </row>
    <row r="60" spans="5:5" x14ac:dyDescent="0.45">
      <c r="E60">
        <f>_xlfn.PERCENTILE.INC(A2:A8,1)</f>
        <v>8</v>
      </c>
    </row>
    <row r="61" spans="5:5" x14ac:dyDescent="0.45">
      <c r="E61" t="e">
        <f>_xlfn.PERCENTILE.EXC(A2:A8,0)</f>
        <v>#NUM!</v>
      </c>
    </row>
    <row r="62" spans="5:5" x14ac:dyDescent="0.45">
      <c r="E62" t="e">
        <f>_xlfn.PERCENTILE.EXC(A2:A8,0.1)</f>
        <v>#NUM!</v>
      </c>
    </row>
    <row r="63" spans="5:5" x14ac:dyDescent="0.45">
      <c r="E63">
        <f>_xlfn.PERCENTILE.EXC(A2:A8,0.25)</f>
        <v>2.5</v>
      </c>
    </row>
    <row r="64" spans="5:5" x14ac:dyDescent="0.45">
      <c r="E64">
        <f>_xlfn.PERCENTILE.EXC(A2:A8,0.5)</f>
        <v>4</v>
      </c>
    </row>
    <row r="65" spans="5:5" x14ac:dyDescent="0.45">
      <c r="E65" t="e">
        <f>_xlfn.PERCENTILE.EXC(A2:A8,0.9)</f>
        <v>#NUM!</v>
      </c>
    </row>
    <row r="66" spans="5:5" x14ac:dyDescent="0.45">
      <c r="E66" t="e">
        <f>_xlfn.PERCENTILE.EXC(A2:A8,1)</f>
        <v>#NUM!</v>
      </c>
    </row>
    <row r="67" spans="5:5" x14ac:dyDescent="0.45">
      <c r="E67">
        <f>QUARTILE(A2:A8,0)</f>
        <v>2</v>
      </c>
    </row>
    <row r="68" spans="5:5" x14ac:dyDescent="0.45">
      <c r="E68">
        <f>QUARTILE(A2:A8,1)</f>
        <v>3.5</v>
      </c>
    </row>
    <row r="69" spans="5:5" x14ac:dyDescent="0.45">
      <c r="E69">
        <f>QUARTILE(A2:A8,2.7)</f>
        <v>4</v>
      </c>
    </row>
    <row r="70" spans="5:5" x14ac:dyDescent="0.45">
      <c r="E70">
        <f>QUARTILE(A2:A8,3)</f>
        <v>5</v>
      </c>
    </row>
    <row r="71" spans="5:5" x14ac:dyDescent="0.45">
      <c r="E71">
        <f>QUARTILE(A2:A8,4)</f>
        <v>8</v>
      </c>
    </row>
    <row r="72" spans="5:5" x14ac:dyDescent="0.45">
      <c r="E72">
        <f>_xlfn.QUARTILE.INC(A2:A8,0)</f>
        <v>2</v>
      </c>
    </row>
    <row r="73" spans="5:5" x14ac:dyDescent="0.45">
      <c r="E73">
        <f>_xlfn.QUARTILE.INC(A2:A8,1)</f>
        <v>3.5</v>
      </c>
    </row>
    <row r="74" spans="5:5" x14ac:dyDescent="0.45">
      <c r="E74">
        <f>_xlfn.QUARTILE.INC(A2:A8,2.7)</f>
        <v>4</v>
      </c>
    </row>
    <row r="75" spans="5:5" x14ac:dyDescent="0.45">
      <c r="E75">
        <f>_xlfn.QUARTILE.INC(A2:A8,3)</f>
        <v>5</v>
      </c>
    </row>
    <row r="76" spans="5:5" x14ac:dyDescent="0.45">
      <c r="E76">
        <f>_xlfn.QUARTILE.INC(A2:A8,4)</f>
        <v>8</v>
      </c>
    </row>
    <row r="77" spans="5:5" x14ac:dyDescent="0.45">
      <c r="E77" t="e">
        <f>_xlfn.QUARTILE.EXC(A2:A8,0)</f>
        <v>#NUM!</v>
      </c>
    </row>
    <row r="78" spans="5:5" x14ac:dyDescent="0.45">
      <c r="E78">
        <f>_xlfn.QUARTILE.EXC(A2:A8,1)</f>
        <v>2.5</v>
      </c>
    </row>
    <row r="79" spans="5:5" x14ac:dyDescent="0.45">
      <c r="E79">
        <f>_xlfn.QUARTILE.EXC(A2:A8,2.7)</f>
        <v>4</v>
      </c>
    </row>
    <row r="80" spans="5:5" x14ac:dyDescent="0.45">
      <c r="E80">
        <f>_xlfn.QUARTILE.EXC(A2:A8,3)</f>
        <v>7</v>
      </c>
    </row>
    <row r="81" spans="5:5" x14ac:dyDescent="0.45">
      <c r="E81" t="e">
        <f>_xlfn.QUARTILE.EXC(A2:A8,4)</f>
        <v>#NUM!</v>
      </c>
    </row>
    <row r="82" spans="5:5" x14ac:dyDescent="0.45">
      <c r="E82">
        <f>_xlfn.VAR.S(B1:B3)</f>
        <v>1</v>
      </c>
    </row>
    <row r="83" spans="5:5" x14ac:dyDescent="0.45">
      <c r="E83" t="e">
        <f>_xlfn.STDEV.S(A2)</f>
        <v>#DIV/0!</v>
      </c>
    </row>
    <row r="84" spans="5:5" x14ac:dyDescent="0.45">
      <c r="E84">
        <f>_xlfn.STDEV.P(A2)</f>
        <v>0</v>
      </c>
    </row>
    <row r="85" spans="5:5" x14ac:dyDescent="0.45">
      <c r="E85" t="e">
        <f>GEOMEAN(1,0)</f>
        <v>#NUM!</v>
      </c>
    </row>
    <row r="86" spans="5:5" x14ac:dyDescent="0.45">
      <c r="E86" t="e">
        <f>HARMEAN(-1,3)</f>
        <v>#NUM!</v>
      </c>
    </row>
    <row r="87" spans="5:5" x14ac:dyDescent="0.45">
      <c r="E87" t="e">
        <f>_xlfn.VAR.S(2,"bad")</f>
        <v>#VALUE!</v>
      </c>
    </row>
    <row r="88" spans="5:5" x14ac:dyDescent="0.45">
      <c r="E88" t="e">
        <f>_xlfn.VAR.S(A2:A9)</f>
        <v>#N/A</v>
      </c>
    </row>
    <row r="89" spans="5:5" x14ac:dyDescent="0.45">
      <c r="E89">
        <f ca="1">_xlfn.VAR.S(INDIRECT("A2:A8"))</f>
        <v>6.333333333333333</v>
      </c>
    </row>
    <row r="90" spans="5:5" x14ac:dyDescent="0.45">
      <c r="E90">
        <f>_xlfn.VAR.S(Amounts)</f>
        <v>6.333333333333333</v>
      </c>
    </row>
    <row r="91" spans="5:5" x14ac:dyDescent="0.45">
      <c r="E91">
        <f>_xlfn.VAR.S(Flag,2)</f>
        <v>0.5</v>
      </c>
    </row>
    <row r="92" spans="5:5" x14ac:dyDescent="0.45">
      <c r="E92">
        <f>_xlfn.MODE.SNGL(4,4,2,2)</f>
        <v>4</v>
      </c>
    </row>
    <row r="93" spans="5:5" x14ac:dyDescent="0.45">
      <c r="E93" s="1" t="e">
        <f>MEDIAN(C1:C2)</f>
        <v>#NUM!</v>
      </c>
    </row>
    <row r="94" spans="5:5" x14ac:dyDescent="0.45">
      <c r="E94">
        <f>LARGE(A2:A8,TRUE)</f>
        <v>8</v>
      </c>
    </row>
    <row r="95" spans="5:5" x14ac:dyDescent="0.45">
      <c r="E95">
        <f>SMALL(B1:B3,1.7)</f>
        <v>1000000000001</v>
      </c>
    </row>
    <row r="96" spans="5:5" x14ac:dyDescent="0.45">
      <c r="E96">
        <f>LARGE(B1:B3,1.7)</f>
        <v>1000000000002</v>
      </c>
    </row>
    <row r="97" spans="5:5" x14ac:dyDescent="0.45">
      <c r="E97" t="e">
        <f>MODE(1,TRUE)</f>
        <v>#VALUE!</v>
      </c>
    </row>
    <row r="98" spans="5:5" x14ac:dyDescent="0.45">
      <c r="E98" t="e">
        <f>MODE(2,"2")</f>
        <v>#VALUE!</v>
      </c>
    </row>
    <row r="99" spans="5:5" x14ac:dyDescent="0.45">
      <c r="E99" t="e">
        <f>MODE(TRUE,TRUE)</f>
        <v>#VALUE!</v>
      </c>
    </row>
    <row r="100" spans="5:5" x14ac:dyDescent="0.45">
      <c r="E100" t="e">
        <f>MODE(2,2,"bad")</f>
        <v>#VALUE!</v>
      </c>
    </row>
    <row r="101" spans="5:5" x14ac:dyDescent="0.45">
      <c r="E101" t="e">
        <f>MODE(2,2,"4")</f>
        <v>#VALUE!</v>
      </c>
    </row>
    <row r="102" spans="5:5" x14ac:dyDescent="0.45">
      <c r="E102" t="e">
        <f>MODE(2,2,A6)</f>
        <v>#VALUE!</v>
      </c>
    </row>
    <row r="103" spans="5:5" x14ac:dyDescent="0.45">
      <c r="E103">
        <f>_xlfn.MODE.SNGL(2,4,4,2)</f>
        <v>2</v>
      </c>
    </row>
    <row r="104" spans="5:5" x14ac:dyDescent="0.45">
      <c r="E104" t="e">
        <f>HARMEAN(C1:C2)</f>
        <v>#N/A</v>
      </c>
    </row>
    <row r="105" spans="5:5" x14ac:dyDescent="0.45">
      <c r="E105" t="e">
        <f>AVEDEV(C1:C2)</f>
        <v>#NUM!</v>
      </c>
    </row>
    <row r="106" spans="5:5" x14ac:dyDescent="0.45">
      <c r="E106" t="e">
        <f>DEVSQ(C1:C2)</f>
        <v>#NUM!</v>
      </c>
    </row>
    <row r="107" spans="5:5" x14ac:dyDescent="0.45">
      <c r="E107" t="e">
        <f>_xlfn.QUARTILE.INC(A2:A8,-0.1)</f>
        <v>#NUM!</v>
      </c>
    </row>
    <row r="108" spans="5:5" x14ac:dyDescent="0.45">
      <c r="E108">
        <f>PRODUCT(2,TRUE,"4")</f>
        <v>8</v>
      </c>
    </row>
    <row r="109" spans="5:5" x14ac:dyDescent="0.45">
      <c r="E109">
        <f>_xlfn.PERCENTILE.INC(A2:A8,TRUE)</f>
        <v>8</v>
      </c>
    </row>
    <row r="110" spans="5:5" x14ac:dyDescent="0.45">
      <c r="E110">
        <f>MEDIAN("2")</f>
        <v>2</v>
      </c>
    </row>
    <row r="111" spans="5:5" x14ac:dyDescent="0.45">
      <c r="E111">
        <f>SMALL("2",1)</f>
        <v>2</v>
      </c>
    </row>
    <row r="112" spans="5:5" x14ac:dyDescent="0.45">
      <c r="E112" t="e">
        <f>_xlfn.VAR.S(A7,2)</f>
        <v>#DIV/0!</v>
      </c>
    </row>
    <row r="113" spans="5:5" x14ac:dyDescent="0.45">
      <c r="E113" t="e">
        <f>_xlfn.VAR.S(INDEX(A2:A8,6),2)</f>
        <v>#DIV/0!</v>
      </c>
    </row>
    <row r="114" spans="5:5" x14ac:dyDescent="0.45">
      <c r="E114">
        <f>_xlfn.VAR.S(1,)</f>
        <v>0.5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Data Set</vt:lpstr>
      <vt:lpstr>Amounts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Klins Bitanji</dc:creator>
  <cp:lastModifiedBy>Klins Bitanji</cp:lastModifiedBy>
  <dcterms:created xsi:type="dcterms:W3CDTF">2026-09-08T22:43:52Z</dcterms:created>
  <dcterms:modified xsi:type="dcterms:W3CDTF">2026-09-08T22:43:54Z</dcterms:modified>
</cp:coreProperties>
</file>