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lins\Desktop\Noffice\.local\excel-relative-names\"/>
    </mc:Choice>
  </mc:AlternateContent>
  <bookViews>
    <workbookView xWindow="0" yWindow="0" windowWidth="16185" windowHeight="8235" activeTab="1"/>
  </bookViews>
  <sheets>
    <sheet name="Data" sheetId="3" r:id="rId1"/>
    <sheet name="Calls" sheetId="2" r:id="rId2"/>
    <sheet name="Cost data" sheetId="1" r:id="rId3"/>
  </sheets>
  <definedNames>
    <definedName name="AliasForward">Forward*2</definedName>
    <definedName name="Area">Data!$A2:$B3</definedName>
    <definedName name="Behind">Data!XFD1048576</definedName>
    <definedName name="ColNext">Data!B$1</definedName>
    <definedName name="Forward" localSheetId="2">Data!$B2</definedName>
    <definedName name="Forward">Data!B2</definedName>
    <definedName name="OtherAnchor">Data!B2</definedName>
    <definedName name="Previous">Calls!A1048576</definedName>
    <definedName name="RowNext">Data!$A2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" i="2" l="1"/>
  <c r="A8" i="2" s="1"/>
  <c r="A1" i="2"/>
  <c r="N4" i="1"/>
  <c r="M4" i="1"/>
  <c r="L4" i="1"/>
  <c r="K4" i="1"/>
  <c r="J4" i="1"/>
  <c r="I4" i="1"/>
  <c r="H4" i="1"/>
  <c r="G4" i="1"/>
  <c r="F4" i="1"/>
  <c r="E4" i="1"/>
  <c r="D4" i="1"/>
  <c r="N2" i="1"/>
  <c r="M2" i="1"/>
  <c r="L2" i="1"/>
  <c r="K2" i="1"/>
  <c r="J2" i="1"/>
  <c r="I2" i="1"/>
  <c r="H2" i="1"/>
  <c r="G2" i="1"/>
  <c r="F2" i="1"/>
  <c r="E2" i="1"/>
  <c r="D2" i="1"/>
  <c r="N4" i="2"/>
  <c r="M4" i="2"/>
  <c r="L4" i="2"/>
  <c r="K4" i="2"/>
  <c r="J4" i="2"/>
  <c r="I4" i="2"/>
  <c r="H4" i="2"/>
  <c r="G4" i="2"/>
  <c r="F4" i="2"/>
  <c r="E4" i="2"/>
  <c r="D4" i="2"/>
  <c r="N2" i="2"/>
  <c r="M2" i="2"/>
  <c r="L2" i="2"/>
  <c r="K2" i="2"/>
  <c r="J2" i="2"/>
  <c r="I2" i="2"/>
  <c r="H2" i="2"/>
  <c r="G2" i="2"/>
  <c r="F2" i="2"/>
  <c r="E2" i="2"/>
  <c r="D2" i="2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2"/>
  <sheetViews>
    <sheetView workbookViewId="0">
      <selection activeCell="H9" sqref="H9"/>
    </sheetView>
  </sheetViews>
  <sheetFormatPr baseColWidth="10" defaultRowHeight="14.25" x14ac:dyDescent="0.45"/>
  <sheetData>
    <row r="1" spans="1:20" x14ac:dyDescent="0.45">
      <c r="A1">
        <v>101</v>
      </c>
      <c r="B1">
        <v>102</v>
      </c>
      <c r="C1">
        <v>103</v>
      </c>
      <c r="D1">
        <v>104</v>
      </c>
      <c r="E1">
        <v>105</v>
      </c>
      <c r="F1">
        <v>106</v>
      </c>
      <c r="G1">
        <v>107</v>
      </c>
      <c r="H1">
        <v>108</v>
      </c>
      <c r="I1">
        <v>109</v>
      </c>
      <c r="J1">
        <v>110</v>
      </c>
      <c r="K1">
        <v>111</v>
      </c>
      <c r="L1">
        <v>112</v>
      </c>
      <c r="M1">
        <v>113</v>
      </c>
      <c r="N1">
        <v>114</v>
      </c>
      <c r="O1">
        <v>115</v>
      </c>
      <c r="P1">
        <v>116</v>
      </c>
      <c r="Q1">
        <v>117</v>
      </c>
      <c r="R1">
        <v>118</v>
      </c>
      <c r="S1">
        <v>119</v>
      </c>
      <c r="T1">
        <v>120</v>
      </c>
    </row>
    <row r="2" spans="1:20" x14ac:dyDescent="0.45">
      <c r="A2">
        <v>201</v>
      </c>
      <c r="B2">
        <v>202</v>
      </c>
      <c r="C2">
        <v>203</v>
      </c>
      <c r="D2">
        <v>204</v>
      </c>
      <c r="E2">
        <v>205</v>
      </c>
      <c r="F2">
        <v>206</v>
      </c>
      <c r="G2">
        <v>207</v>
      </c>
      <c r="H2">
        <v>208</v>
      </c>
      <c r="I2">
        <v>209</v>
      </c>
      <c r="J2">
        <v>210</v>
      </c>
      <c r="K2">
        <v>211</v>
      </c>
      <c r="L2">
        <v>212</v>
      </c>
      <c r="M2">
        <v>213</v>
      </c>
      <c r="N2">
        <v>214</v>
      </c>
      <c r="O2">
        <v>215</v>
      </c>
      <c r="P2">
        <v>216</v>
      </c>
      <c r="Q2">
        <v>217</v>
      </c>
      <c r="R2">
        <v>218</v>
      </c>
      <c r="S2">
        <v>219</v>
      </c>
      <c r="T2">
        <v>220</v>
      </c>
    </row>
    <row r="3" spans="1:20" x14ac:dyDescent="0.45">
      <c r="A3">
        <v>301</v>
      </c>
      <c r="B3">
        <v>302</v>
      </c>
      <c r="C3">
        <v>303</v>
      </c>
      <c r="D3">
        <v>304</v>
      </c>
      <c r="E3">
        <v>305</v>
      </c>
      <c r="F3">
        <v>306</v>
      </c>
      <c r="G3">
        <v>307</v>
      </c>
      <c r="H3">
        <v>308</v>
      </c>
      <c r="I3">
        <v>309</v>
      </c>
      <c r="J3">
        <v>310</v>
      </c>
      <c r="K3">
        <v>311</v>
      </c>
      <c r="L3">
        <v>312</v>
      </c>
      <c r="M3">
        <v>313</v>
      </c>
      <c r="N3">
        <v>314</v>
      </c>
      <c r="O3">
        <v>315</v>
      </c>
      <c r="P3">
        <v>316</v>
      </c>
      <c r="Q3">
        <v>317</v>
      </c>
      <c r="R3">
        <v>318</v>
      </c>
      <c r="S3">
        <v>319</v>
      </c>
      <c r="T3">
        <v>320</v>
      </c>
    </row>
    <row r="4" spans="1:20" x14ac:dyDescent="0.45">
      <c r="A4">
        <v>401</v>
      </c>
      <c r="B4">
        <v>402</v>
      </c>
      <c r="C4">
        <v>403</v>
      </c>
      <c r="D4">
        <v>404</v>
      </c>
      <c r="E4">
        <v>405</v>
      </c>
      <c r="F4">
        <v>406</v>
      </c>
      <c r="G4">
        <v>407</v>
      </c>
      <c r="H4">
        <v>408</v>
      </c>
      <c r="I4">
        <v>409</v>
      </c>
      <c r="J4">
        <v>410</v>
      </c>
      <c r="K4">
        <v>411</v>
      </c>
      <c r="L4">
        <v>412</v>
      </c>
      <c r="M4">
        <v>413</v>
      </c>
      <c r="N4">
        <v>414</v>
      </c>
      <c r="O4">
        <v>415</v>
      </c>
      <c r="P4">
        <v>416</v>
      </c>
      <c r="Q4">
        <v>417</v>
      </c>
      <c r="R4">
        <v>418</v>
      </c>
      <c r="S4">
        <v>419</v>
      </c>
      <c r="T4">
        <v>420</v>
      </c>
    </row>
    <row r="5" spans="1:20" x14ac:dyDescent="0.45">
      <c r="A5">
        <v>501</v>
      </c>
      <c r="B5">
        <v>502</v>
      </c>
      <c r="C5">
        <v>503</v>
      </c>
      <c r="D5">
        <v>504</v>
      </c>
      <c r="E5">
        <v>505</v>
      </c>
      <c r="F5">
        <v>506</v>
      </c>
      <c r="G5">
        <v>507</v>
      </c>
      <c r="H5">
        <v>508</v>
      </c>
      <c r="I5">
        <v>509</v>
      </c>
      <c r="J5">
        <v>510</v>
      </c>
      <c r="K5">
        <v>511</v>
      </c>
      <c r="L5">
        <v>512</v>
      </c>
      <c r="M5">
        <v>513</v>
      </c>
      <c r="N5">
        <v>514</v>
      </c>
      <c r="O5">
        <v>515</v>
      </c>
      <c r="P5">
        <v>516</v>
      </c>
      <c r="Q5">
        <v>517</v>
      </c>
      <c r="R5">
        <v>518</v>
      </c>
      <c r="S5">
        <v>519</v>
      </c>
      <c r="T5">
        <v>520</v>
      </c>
    </row>
    <row r="6" spans="1:20" x14ac:dyDescent="0.45">
      <c r="A6">
        <v>601</v>
      </c>
      <c r="B6">
        <v>602</v>
      </c>
      <c r="C6">
        <v>603</v>
      </c>
      <c r="D6">
        <v>604</v>
      </c>
      <c r="E6">
        <v>605</v>
      </c>
      <c r="F6">
        <v>606</v>
      </c>
      <c r="G6">
        <v>607</v>
      </c>
      <c r="H6">
        <v>608</v>
      </c>
      <c r="I6">
        <v>609</v>
      </c>
      <c r="J6">
        <v>610</v>
      </c>
      <c r="K6">
        <v>611</v>
      </c>
      <c r="L6">
        <v>612</v>
      </c>
      <c r="M6">
        <v>613</v>
      </c>
      <c r="N6">
        <v>614</v>
      </c>
      <c r="O6">
        <v>615</v>
      </c>
      <c r="P6">
        <v>616</v>
      </c>
      <c r="Q6">
        <v>617</v>
      </c>
      <c r="R6">
        <v>618</v>
      </c>
      <c r="S6">
        <v>619</v>
      </c>
      <c r="T6">
        <v>620</v>
      </c>
    </row>
    <row r="7" spans="1:20" x14ac:dyDescent="0.45">
      <c r="A7">
        <v>701</v>
      </c>
      <c r="B7">
        <v>702</v>
      </c>
      <c r="C7">
        <v>703</v>
      </c>
      <c r="D7">
        <v>704</v>
      </c>
      <c r="E7">
        <v>705</v>
      </c>
      <c r="F7">
        <v>706</v>
      </c>
      <c r="G7">
        <v>707</v>
      </c>
      <c r="H7">
        <v>708</v>
      </c>
      <c r="I7">
        <v>709</v>
      </c>
      <c r="J7">
        <v>710</v>
      </c>
      <c r="K7">
        <v>711</v>
      </c>
      <c r="L7">
        <v>712</v>
      </c>
      <c r="M7">
        <v>713</v>
      </c>
      <c r="N7">
        <v>714</v>
      </c>
      <c r="O7">
        <v>715</v>
      </c>
      <c r="P7">
        <v>716</v>
      </c>
      <c r="Q7">
        <v>717</v>
      </c>
      <c r="R7">
        <v>718</v>
      </c>
      <c r="S7">
        <v>719</v>
      </c>
      <c r="T7">
        <v>720</v>
      </c>
    </row>
    <row r="8" spans="1:20" x14ac:dyDescent="0.45">
      <c r="A8">
        <v>801</v>
      </c>
      <c r="B8">
        <v>802</v>
      </c>
      <c r="C8">
        <v>803</v>
      </c>
      <c r="D8">
        <v>804</v>
      </c>
      <c r="E8">
        <v>805</v>
      </c>
      <c r="F8">
        <v>806</v>
      </c>
      <c r="G8">
        <v>807</v>
      </c>
      <c r="H8">
        <v>808</v>
      </c>
      <c r="I8">
        <v>809</v>
      </c>
      <c r="J8">
        <v>810</v>
      </c>
      <c r="K8">
        <v>811</v>
      </c>
      <c r="L8">
        <v>812</v>
      </c>
      <c r="M8">
        <v>813</v>
      </c>
      <c r="N8">
        <v>814</v>
      </c>
      <c r="O8">
        <v>815</v>
      </c>
      <c r="P8">
        <v>816</v>
      </c>
      <c r="Q8">
        <v>817</v>
      </c>
      <c r="R8">
        <v>818</v>
      </c>
      <c r="S8">
        <v>819</v>
      </c>
      <c r="T8">
        <v>820</v>
      </c>
    </row>
    <row r="9" spans="1:20" x14ac:dyDescent="0.45">
      <c r="A9">
        <v>901</v>
      </c>
      <c r="B9">
        <v>902</v>
      </c>
      <c r="C9">
        <v>903</v>
      </c>
      <c r="D9">
        <v>904</v>
      </c>
      <c r="E9">
        <v>905</v>
      </c>
      <c r="F9">
        <v>906</v>
      </c>
      <c r="G9">
        <v>907</v>
      </c>
      <c r="H9">
        <v>908</v>
      </c>
      <c r="I9">
        <v>909</v>
      </c>
      <c r="J9">
        <v>910</v>
      </c>
      <c r="K9">
        <v>911</v>
      </c>
      <c r="L9">
        <v>912</v>
      </c>
      <c r="M9">
        <v>913</v>
      </c>
      <c r="N9">
        <v>914</v>
      </c>
      <c r="O9">
        <v>915</v>
      </c>
      <c r="P9">
        <v>916</v>
      </c>
      <c r="Q9">
        <v>917</v>
      </c>
      <c r="R9">
        <v>918</v>
      </c>
      <c r="S9">
        <v>919</v>
      </c>
      <c r="T9">
        <v>920</v>
      </c>
    </row>
    <row r="10" spans="1:20" x14ac:dyDescent="0.45">
      <c r="A10">
        <v>1001</v>
      </c>
      <c r="B10">
        <v>1002</v>
      </c>
      <c r="C10">
        <v>1003</v>
      </c>
      <c r="D10">
        <v>1004</v>
      </c>
      <c r="E10">
        <v>1005</v>
      </c>
      <c r="F10">
        <v>1006</v>
      </c>
      <c r="G10">
        <v>1007</v>
      </c>
      <c r="H10">
        <v>1008</v>
      </c>
      <c r="I10">
        <v>1009</v>
      </c>
      <c r="J10">
        <v>1010</v>
      </c>
      <c r="K10">
        <v>1011</v>
      </c>
      <c r="L10">
        <v>1012</v>
      </c>
      <c r="M10">
        <v>1013</v>
      </c>
      <c r="N10">
        <v>1014</v>
      </c>
      <c r="O10">
        <v>1015</v>
      </c>
      <c r="P10">
        <v>1016</v>
      </c>
      <c r="Q10">
        <v>1017</v>
      </c>
      <c r="R10">
        <v>1018</v>
      </c>
      <c r="S10">
        <v>1019</v>
      </c>
      <c r="T10">
        <v>1020</v>
      </c>
    </row>
    <row r="11" spans="1:20" x14ac:dyDescent="0.45">
      <c r="A11">
        <v>1101</v>
      </c>
      <c r="B11">
        <v>1102</v>
      </c>
      <c r="C11">
        <v>1103</v>
      </c>
      <c r="D11">
        <v>1104</v>
      </c>
      <c r="E11">
        <v>1105</v>
      </c>
      <c r="F11">
        <v>1106</v>
      </c>
      <c r="G11">
        <v>1107</v>
      </c>
      <c r="H11">
        <v>1108</v>
      </c>
      <c r="I11">
        <v>1109</v>
      </c>
      <c r="J11">
        <v>1110</v>
      </c>
      <c r="K11">
        <v>1111</v>
      </c>
      <c r="L11">
        <v>1112</v>
      </c>
      <c r="M11">
        <v>1113</v>
      </c>
      <c r="N11">
        <v>1114</v>
      </c>
      <c r="O11">
        <v>1115</v>
      </c>
      <c r="P11">
        <v>1116</v>
      </c>
      <c r="Q11">
        <v>1117</v>
      </c>
      <c r="R11">
        <v>1118</v>
      </c>
      <c r="S11">
        <v>1119</v>
      </c>
      <c r="T11">
        <v>1120</v>
      </c>
    </row>
    <row r="12" spans="1:20" x14ac:dyDescent="0.45">
      <c r="A12">
        <v>1201</v>
      </c>
      <c r="B12">
        <v>1202</v>
      </c>
      <c r="C12">
        <v>1203</v>
      </c>
      <c r="D12">
        <v>1204</v>
      </c>
      <c r="E12">
        <v>1205</v>
      </c>
      <c r="F12">
        <v>1206</v>
      </c>
      <c r="G12">
        <v>1207</v>
      </c>
      <c r="H12">
        <v>1208</v>
      </c>
      <c r="I12">
        <v>1209</v>
      </c>
      <c r="J12">
        <v>1210</v>
      </c>
      <c r="K12">
        <v>1211</v>
      </c>
      <c r="L12">
        <v>1212</v>
      </c>
      <c r="M12">
        <v>1213</v>
      </c>
      <c r="N12">
        <v>1214</v>
      </c>
      <c r="O12">
        <v>1215</v>
      </c>
      <c r="P12">
        <v>1216</v>
      </c>
      <c r="Q12">
        <v>1217</v>
      </c>
      <c r="R12">
        <v>1218</v>
      </c>
      <c r="S12">
        <v>1219</v>
      </c>
      <c r="T12">
        <v>1220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"/>
  <sheetViews>
    <sheetView tabSelected="1" workbookViewId="0">
      <selection activeCell="J8" sqref="J8"/>
    </sheetView>
  </sheetViews>
  <sheetFormatPr baseColWidth="10" defaultRowHeight="14.25" x14ac:dyDescent="0.45"/>
  <sheetData>
    <row r="1" spans="1:14" x14ac:dyDescent="0.45">
      <c r="A1">
        <f>Previous</f>
        <v>0</v>
      </c>
    </row>
    <row r="2" spans="1:14" x14ac:dyDescent="0.45">
      <c r="D2">
        <f>RowNext</f>
        <v>301</v>
      </c>
      <c r="E2">
        <f>ColNext</f>
        <v>106</v>
      </c>
      <c r="F2">
        <f>Forward</f>
        <v>307</v>
      </c>
      <c r="G2">
        <f>OtherAnchor</f>
        <v>308</v>
      </c>
      <c r="H2">
        <f>Behind</f>
        <v>107</v>
      </c>
      <c r="I2">
        <f>AliasForward</f>
        <v>620</v>
      </c>
      <c r="J2">
        <f>SUM(Area)</f>
        <v>1406</v>
      </c>
      <c r="K2">
        <f>'Cost data'!Forward</f>
        <v>302</v>
      </c>
      <c r="L2">
        <f>ROW(RowNext)</f>
        <v>3</v>
      </c>
      <c r="M2">
        <f>COLUMN(ColNext)</f>
        <v>14</v>
      </c>
      <c r="N2">
        <f>IF(RowNext&gt;0,RowNext,999)</f>
        <v>301</v>
      </c>
    </row>
    <row r="4" spans="1:14" x14ac:dyDescent="0.45">
      <c r="D4">
        <f>RowNext</f>
        <v>501</v>
      </c>
      <c r="E4">
        <f>ColNext</f>
        <v>106</v>
      </c>
      <c r="F4">
        <f>Forward</f>
        <v>507</v>
      </c>
      <c r="G4">
        <f>OtherAnchor</f>
        <v>508</v>
      </c>
      <c r="H4">
        <f>Behind</f>
        <v>307</v>
      </c>
      <c r="I4">
        <f>AliasForward</f>
        <v>1020</v>
      </c>
      <c r="J4">
        <f>SUM(Area)</f>
        <v>2206</v>
      </c>
      <c r="K4">
        <f>'Cost data'!Forward</f>
        <v>502</v>
      </c>
      <c r="L4">
        <f>ROW(RowNext)</f>
        <v>5</v>
      </c>
      <c r="M4">
        <f>COLUMN(ColNext)</f>
        <v>14</v>
      </c>
      <c r="N4">
        <f>IF(RowNext&gt;0,RowNext,999)</f>
        <v>501</v>
      </c>
    </row>
    <row r="6" spans="1:14" x14ac:dyDescent="0.45">
      <c r="A6">
        <v>1</v>
      </c>
    </row>
    <row r="7" spans="1:14" x14ac:dyDescent="0.45">
      <c r="A7">
        <f>Previous+1</f>
        <v>2</v>
      </c>
    </row>
    <row r="8" spans="1:14" x14ac:dyDescent="0.45">
      <c r="A8">
        <f>Previous+1</f>
        <v>3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2:N4"/>
  <sheetViews>
    <sheetView workbookViewId="0"/>
  </sheetViews>
  <sheetFormatPr baseColWidth="10" defaultRowHeight="14.25" x14ac:dyDescent="0.45"/>
  <sheetData>
    <row r="2" spans="4:14" x14ac:dyDescent="0.45">
      <c r="D2">
        <f>RowNext</f>
        <v>301</v>
      </c>
      <c r="E2">
        <f>ColNext</f>
        <v>106</v>
      </c>
      <c r="F2">
        <f>Forward</f>
        <v>302</v>
      </c>
      <c r="G2">
        <f>OtherAnchor</f>
        <v>308</v>
      </c>
      <c r="H2">
        <f>Behind</f>
        <v>107</v>
      </c>
      <c r="I2">
        <f>AliasForward</f>
        <v>620</v>
      </c>
      <c r="J2">
        <f>SUM(Area)</f>
        <v>1406</v>
      </c>
      <c r="K2">
        <f>'Cost data'!Forward</f>
        <v>302</v>
      </c>
      <c r="L2">
        <f>ROW(RowNext)</f>
        <v>3</v>
      </c>
      <c r="M2">
        <f>COLUMN(ColNext)</f>
        <v>14</v>
      </c>
      <c r="N2">
        <f>IF(RowNext&gt;0,RowNext,999)</f>
        <v>301</v>
      </c>
    </row>
    <row r="4" spans="4:14" x14ac:dyDescent="0.45">
      <c r="D4">
        <f>RowNext</f>
        <v>501</v>
      </c>
      <c r="E4">
        <f>ColNext</f>
        <v>106</v>
      </c>
      <c r="F4">
        <f>Forward</f>
        <v>502</v>
      </c>
      <c r="G4">
        <f>OtherAnchor</f>
        <v>508</v>
      </c>
      <c r="H4">
        <f>Behind</f>
        <v>307</v>
      </c>
      <c r="I4">
        <f>AliasForward</f>
        <v>1020</v>
      </c>
      <c r="J4">
        <f>SUM(Area)</f>
        <v>2206</v>
      </c>
      <c r="K4">
        <f>'Cost data'!Forward</f>
        <v>502</v>
      </c>
      <c r="L4">
        <f>ROW(RowNext)</f>
        <v>5</v>
      </c>
      <c r="M4">
        <f>COLUMN(ColNext)</f>
        <v>14</v>
      </c>
      <c r="N4">
        <f>IF(RowNext&gt;0,RowNext,999)</f>
        <v>501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8</vt:i4>
      </vt:variant>
    </vt:vector>
  </HeadingPairs>
  <TitlesOfParts>
    <vt:vector size="11" baseType="lpstr">
      <vt:lpstr>Data</vt:lpstr>
      <vt:lpstr>Calls</vt:lpstr>
      <vt:lpstr>Cost data</vt:lpstr>
      <vt:lpstr>Area</vt:lpstr>
      <vt:lpstr>Behind</vt:lpstr>
      <vt:lpstr>ColNext</vt:lpstr>
      <vt:lpstr>'Cost data'!Forward</vt:lpstr>
      <vt:lpstr>Forward</vt:lpstr>
      <vt:lpstr>OtherAnchor</vt:lpstr>
      <vt:lpstr>Previous</vt:lpstr>
      <vt:lpstr>RowNext</vt:lpstr>
    </vt:vector>
  </TitlesOfParts>
  <Company>Noffice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Noffice</dc:creator>
  <cp:lastModifiedBy>Noffice</cp:lastModifiedBy>
  <dcterms:created xsi:type="dcterms:W3CDTF">2026-09-11T05:48:43Z</dcterms:created>
  <dcterms:modified xsi:type="dcterms:W3CDTF">2026-09-11T05:48:44Z</dcterms:modified>
</cp:coreProperties>
</file>