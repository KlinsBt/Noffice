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tests\fixtures\"/>
    </mc:Choice>
  </mc:AlternateContent>
  <bookViews>
    <workbookView xWindow="0" yWindow="0" windowWidth="16185" windowHeight="8235"/>
  </bookViews>
  <sheets>
    <sheet name="Data Set" sheetId="1" r:id="rId1"/>
  </sheets>
  <definedNames>
    <definedName name="Amounts">'Data Set'!$A$1:$A$8</definedName>
    <definedName name="Empty">'Data Set'!$A$6</definedName>
    <definedName name="Flag">TRUE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8" i="1" l="1"/>
  <c r="E127" i="1"/>
  <c r="E126" i="1"/>
  <c r="E125" i="1"/>
  <c r="E123" i="1"/>
  <c r="E120" i="1"/>
  <c r="E118" i="1"/>
  <c r="E115" i="1"/>
  <c r="E114" i="1"/>
  <c r="E113" i="1"/>
  <c r="E112" i="1"/>
  <c r="E111" i="1"/>
  <c r="E109" i="1"/>
  <c r="E105" i="1"/>
  <c r="E104" i="1"/>
  <c r="E102" i="1"/>
  <c r="E99" i="1"/>
  <c r="E97" i="1"/>
  <c r="E95" i="1"/>
  <c r="E94" i="1"/>
  <c r="E93" i="1"/>
  <c r="E92" i="1"/>
  <c r="E91" i="1"/>
  <c r="E90" i="1"/>
  <c r="E88" i="1"/>
  <c r="E84" i="1"/>
  <c r="E83" i="1"/>
  <c r="E81" i="1"/>
  <c r="E79" i="1"/>
  <c r="E78" i="1"/>
  <c r="E76" i="1"/>
  <c r="E73" i="1"/>
  <c r="E72" i="1"/>
  <c r="E71" i="1"/>
  <c r="E70" i="1"/>
  <c r="E69" i="1"/>
  <c r="E67" i="1"/>
  <c r="E65" i="1"/>
  <c r="E63" i="1"/>
  <c r="E62" i="1"/>
  <c r="E60" i="1"/>
  <c r="E57" i="1"/>
  <c r="E55" i="1"/>
  <c r="E52" i="1"/>
  <c r="E51" i="1"/>
  <c r="E50" i="1"/>
  <c r="E49" i="1"/>
  <c r="E48" i="1"/>
  <c r="E47" i="1"/>
  <c r="E46" i="1"/>
  <c r="E45" i="1"/>
  <c r="E42" i="1"/>
  <c r="E41" i="1"/>
  <c r="E39" i="1"/>
  <c r="E36" i="1"/>
  <c r="E34" i="1"/>
  <c r="E31" i="1"/>
  <c r="E30" i="1"/>
  <c r="E29" i="1"/>
  <c r="E28" i="1"/>
  <c r="E27" i="1"/>
  <c r="E25" i="1"/>
  <c r="E21" i="1"/>
  <c r="E20" i="1"/>
  <c r="E18" i="1"/>
  <c r="E15" i="1"/>
  <c r="E13" i="1"/>
  <c r="E12" i="1"/>
  <c r="E11" i="1"/>
  <c r="E10" i="1"/>
  <c r="E9" i="1"/>
  <c r="E8" i="1"/>
  <c r="E7" i="1"/>
  <c r="E6" i="1"/>
  <c r="E4" i="1"/>
  <c r="A8" i="1"/>
  <c r="E110" i="1" s="1"/>
  <c r="A7" i="1"/>
  <c r="E37" i="1" s="1"/>
  <c r="A5" i="1"/>
  <c r="A4" i="1"/>
  <c r="E61" i="1" s="1"/>
  <c r="E119" i="1"/>
  <c r="E98" i="1"/>
  <c r="E77" i="1"/>
  <c r="E56" i="1"/>
  <c r="E35" i="1"/>
  <c r="E14" i="1"/>
  <c r="E80" i="1" l="1"/>
  <c r="E19" i="1"/>
  <c r="E122" i="1"/>
  <c r="E82" i="1"/>
  <c r="E16" i="1"/>
  <c r="E17" i="1"/>
  <c r="E117" i="1"/>
  <c r="E87" i="1"/>
  <c r="E22" i="1"/>
  <c r="E89" i="1"/>
  <c r="E40" i="1"/>
  <c r="E107" i="1"/>
  <c r="E124" i="1"/>
  <c r="E100" i="1"/>
  <c r="E38" i="1"/>
  <c r="E5" i="1"/>
  <c r="E106" i="1"/>
  <c r="E74" i="1"/>
  <c r="E108" i="1"/>
  <c r="E96" i="1"/>
  <c r="E32" i="1"/>
  <c r="E116" i="1"/>
  <c r="E1" i="1"/>
  <c r="E103" i="1"/>
  <c r="E121" i="1"/>
  <c r="E54" i="1"/>
  <c r="E23" i="1"/>
  <c r="E24" i="1"/>
  <c r="E58" i="1"/>
  <c r="E59" i="1"/>
  <c r="E75" i="1"/>
  <c r="E64" i="1"/>
  <c r="E33" i="1"/>
  <c r="E68" i="1"/>
  <c r="E86" i="1"/>
  <c r="E3" i="1"/>
  <c r="E53" i="1"/>
  <c r="E26" i="1"/>
  <c r="E43" i="1"/>
  <c r="E66" i="1"/>
  <c r="E101" i="1"/>
  <c r="E85" i="1"/>
  <c r="E2" i="1"/>
  <c r="E44" i="1"/>
</calcChain>
</file>

<file path=xl/sharedStrings.xml><?xml version="1.0" encoding="utf-8"?>
<sst xmlns="http://schemas.openxmlformats.org/spreadsheetml/2006/main" count="1" uniqueCount="1">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</sst>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tabSelected="1" workbookViewId="0"/>
  </sheetViews>
  <sheetFormatPr baseColWidth="10" defaultRowHeight="14.25" x14ac:dyDescent="0.45"/>
  <sheetData>
    <row r="1" spans="1:5" x14ac:dyDescent="0.45">
      <c r="A1">
        <v>2</v>
      </c>
      <c r="E1" t="e">
        <f>SUM(A1:A8)</f>
        <v>#N/A</v>
      </c>
    </row>
    <row r="2" spans="1:5" x14ac:dyDescent="0.45">
      <c r="A2">
        <v>4</v>
      </c>
      <c r="B2">
        <v>8</v>
      </c>
      <c r="E2">
        <f>SUM(A1:A5)</f>
        <v>6</v>
      </c>
    </row>
    <row r="3" spans="1:5" x14ac:dyDescent="0.45">
      <c r="A3" s="1" t="s">
        <v>0</v>
      </c>
      <c r="E3">
        <f>SUM(A7)</f>
        <v>0</v>
      </c>
    </row>
    <row r="4" spans="1:5" x14ac:dyDescent="0.45">
      <c r="A4" t="b">
        <f>TRUE()</f>
        <v>1</v>
      </c>
      <c r="E4">
        <f>SUM(A6)</f>
        <v>0</v>
      </c>
    </row>
    <row r="5" spans="1:5" x14ac:dyDescent="0.45">
      <c r="A5" t="b">
        <f>FALSE()</f>
        <v>0</v>
      </c>
      <c r="E5" t="e">
        <f>SUM(A8)</f>
        <v>#N/A</v>
      </c>
    </row>
    <row r="6" spans="1:5" x14ac:dyDescent="0.45">
      <c r="E6">
        <f>SUM(A9)</f>
        <v>0</v>
      </c>
    </row>
    <row r="7" spans="1:5" x14ac:dyDescent="0.45">
      <c r="A7" t="str">
        <f>""</f>
        <v/>
      </c>
      <c r="E7">
        <f>SUM(TRUE,FALSE,"3",2)</f>
        <v>6</v>
      </c>
    </row>
    <row r="8" spans="1:5" x14ac:dyDescent="0.45">
      <c r="A8" t="e">
        <f>NA()</f>
        <v>#N/A</v>
      </c>
      <c r="E8" t="e">
        <f>SUM("bad",2)</f>
        <v>#VALUE!</v>
      </c>
    </row>
    <row r="9" spans="1:5" x14ac:dyDescent="0.45">
      <c r="E9" t="e">
        <f>SUM("",2)</f>
        <v>#VALUE!</v>
      </c>
    </row>
    <row r="10" spans="1:5" x14ac:dyDescent="0.45">
      <c r="E10" t="e">
        <f>SUM(NA(),2)</f>
        <v>#N/A</v>
      </c>
    </row>
    <row r="11" spans="1:5" x14ac:dyDescent="0.45">
      <c r="E11" s="1" t="e">
        <f>SUM(A1,A2,A3,A4,A5,A6,A7,A8)</f>
        <v>#N/A</v>
      </c>
    </row>
    <row r="12" spans="1:5" x14ac:dyDescent="0.45">
      <c r="E12" t="e">
        <f>SUM(Amounts)</f>
        <v>#N/A</v>
      </c>
    </row>
    <row r="13" spans="1:5" x14ac:dyDescent="0.45">
      <c r="E13">
        <f>SUM(Flag,2)</f>
        <v>3</v>
      </c>
    </row>
    <row r="14" spans="1:5" x14ac:dyDescent="0.45">
      <c r="E14" t="e">
        <f ca="1">SUM(INDIRECT("A1:A8"))</f>
        <v>#N/A</v>
      </c>
    </row>
    <row r="15" spans="1:5" x14ac:dyDescent="0.45">
      <c r="E15">
        <f>SUM(INDEX(A1:A8,6))</f>
        <v>0</v>
      </c>
    </row>
    <row r="16" spans="1:5" x14ac:dyDescent="0.45">
      <c r="E16">
        <f>SUM(INDEX(A1:A8,7))</f>
        <v>0</v>
      </c>
    </row>
    <row r="17" spans="5:5" x14ac:dyDescent="0.45">
      <c r="E17" t="e">
        <f>SUM(INDEX(A1:B8,0,1))</f>
        <v>#N/A</v>
      </c>
    </row>
    <row r="18" spans="5:5" x14ac:dyDescent="0.45">
      <c r="E18">
        <f>SUM(INDEX(A1:B8,2,0))</f>
        <v>12</v>
      </c>
    </row>
    <row r="19" spans="5:5" x14ac:dyDescent="0.45">
      <c r="E19" t="e">
        <f>SUM(A:A)</f>
        <v>#N/A</v>
      </c>
    </row>
    <row r="20" spans="5:5" x14ac:dyDescent="0.45">
      <c r="E20">
        <f>SUM(1,)</f>
        <v>1</v>
      </c>
    </row>
    <row r="21" spans="5:5" x14ac:dyDescent="0.45">
      <c r="E21">
        <f>SUM(Empty)</f>
        <v>0</v>
      </c>
    </row>
    <row r="22" spans="5:5" x14ac:dyDescent="0.45">
      <c r="E22" t="e">
        <f>AVERAGE(A1:A8)</f>
        <v>#N/A</v>
      </c>
    </row>
    <row r="23" spans="5:5" x14ac:dyDescent="0.45">
      <c r="E23">
        <f>AVERAGE(A1:A5)</f>
        <v>3</v>
      </c>
    </row>
    <row r="24" spans="5:5" x14ac:dyDescent="0.45">
      <c r="E24" t="e">
        <f>AVERAGE(A7)</f>
        <v>#DIV/0!</v>
      </c>
    </row>
    <row r="25" spans="5:5" x14ac:dyDescent="0.45">
      <c r="E25" t="e">
        <f>AVERAGE(A6)</f>
        <v>#DIV/0!</v>
      </c>
    </row>
    <row r="26" spans="5:5" x14ac:dyDescent="0.45">
      <c r="E26" t="e">
        <f>AVERAGE(A8)</f>
        <v>#N/A</v>
      </c>
    </row>
    <row r="27" spans="5:5" x14ac:dyDescent="0.45">
      <c r="E27" t="e">
        <f>AVERAGE(A9)</f>
        <v>#DIV/0!</v>
      </c>
    </row>
    <row r="28" spans="5:5" x14ac:dyDescent="0.45">
      <c r="E28">
        <f>AVERAGE(TRUE,FALSE,"3",2)</f>
        <v>1.5</v>
      </c>
    </row>
    <row r="29" spans="5:5" x14ac:dyDescent="0.45">
      <c r="E29" t="e">
        <f>AVERAGE("bad",2)</f>
        <v>#VALUE!</v>
      </c>
    </row>
    <row r="30" spans="5:5" x14ac:dyDescent="0.45">
      <c r="E30" t="e">
        <f>AVERAGE("",2)</f>
        <v>#VALUE!</v>
      </c>
    </row>
    <row r="31" spans="5:5" x14ac:dyDescent="0.45">
      <c r="E31" t="e">
        <f>AVERAGE(NA(),2)</f>
        <v>#N/A</v>
      </c>
    </row>
    <row r="32" spans="5:5" x14ac:dyDescent="0.45">
      <c r="E32" s="1" t="e">
        <f>AVERAGE(A1,A2,A3,A4,A5,A6,A7,A8)</f>
        <v>#N/A</v>
      </c>
    </row>
    <row r="33" spans="5:5" x14ac:dyDescent="0.45">
      <c r="E33" t="e">
        <f>AVERAGE(Amounts)</f>
        <v>#N/A</v>
      </c>
    </row>
    <row r="34" spans="5:5" x14ac:dyDescent="0.45">
      <c r="E34">
        <f>AVERAGE(Flag,2)</f>
        <v>1.5</v>
      </c>
    </row>
    <row r="35" spans="5:5" x14ac:dyDescent="0.45">
      <c r="E35" t="e">
        <f ca="1">AVERAGE(INDIRECT("A1:A8"))</f>
        <v>#N/A</v>
      </c>
    </row>
    <row r="36" spans="5:5" x14ac:dyDescent="0.45">
      <c r="E36" t="e">
        <f>AVERAGE(INDEX(A1:A8,6))</f>
        <v>#DIV/0!</v>
      </c>
    </row>
    <row r="37" spans="5:5" x14ac:dyDescent="0.45">
      <c r="E37" t="e">
        <f>AVERAGE(INDEX(A1:A8,7))</f>
        <v>#DIV/0!</v>
      </c>
    </row>
    <row r="38" spans="5:5" x14ac:dyDescent="0.45">
      <c r="E38" t="e">
        <f>AVERAGE(INDEX(A1:B8,0,1))</f>
        <v>#N/A</v>
      </c>
    </row>
    <row r="39" spans="5:5" x14ac:dyDescent="0.45">
      <c r="E39">
        <f>AVERAGE(INDEX(A1:B8,2,0))</f>
        <v>6</v>
      </c>
    </row>
    <row r="40" spans="5:5" x14ac:dyDescent="0.45">
      <c r="E40" t="e">
        <f>AVERAGE(A:A)</f>
        <v>#N/A</v>
      </c>
    </row>
    <row r="41" spans="5:5" x14ac:dyDescent="0.45">
      <c r="E41">
        <f>AVERAGE(1,)</f>
        <v>0.5</v>
      </c>
    </row>
    <row r="42" spans="5:5" x14ac:dyDescent="0.45">
      <c r="E42" t="e">
        <f>AVERAGE(Empty)</f>
        <v>#DIV/0!</v>
      </c>
    </row>
    <row r="43" spans="5:5" x14ac:dyDescent="0.45">
      <c r="E43" t="e">
        <f>MIN(A1:A8)</f>
        <v>#N/A</v>
      </c>
    </row>
    <row r="44" spans="5:5" x14ac:dyDescent="0.45">
      <c r="E44">
        <f>MIN(A1:A5)</f>
        <v>2</v>
      </c>
    </row>
    <row r="45" spans="5:5" x14ac:dyDescent="0.45">
      <c r="E45">
        <f>MIN(A7)</f>
        <v>0</v>
      </c>
    </row>
    <row r="46" spans="5:5" x14ac:dyDescent="0.45">
      <c r="E46">
        <f>MIN(A6)</f>
        <v>0</v>
      </c>
    </row>
    <row r="47" spans="5:5" x14ac:dyDescent="0.45">
      <c r="E47" t="e">
        <f>MIN(A8)</f>
        <v>#N/A</v>
      </c>
    </row>
    <row r="48" spans="5:5" x14ac:dyDescent="0.45">
      <c r="E48">
        <f>MIN(A9)</f>
        <v>0</v>
      </c>
    </row>
    <row r="49" spans="5:5" x14ac:dyDescent="0.45">
      <c r="E49">
        <f>MIN(TRUE,FALSE,"3",2)</f>
        <v>0</v>
      </c>
    </row>
    <row r="50" spans="5:5" x14ac:dyDescent="0.45">
      <c r="E50" t="e">
        <f>MIN("bad",2)</f>
        <v>#VALUE!</v>
      </c>
    </row>
    <row r="51" spans="5:5" x14ac:dyDescent="0.45">
      <c r="E51" t="e">
        <f>MIN("",2)</f>
        <v>#VALUE!</v>
      </c>
    </row>
    <row r="52" spans="5:5" x14ac:dyDescent="0.45">
      <c r="E52" t="e">
        <f>MIN(NA(),2)</f>
        <v>#N/A</v>
      </c>
    </row>
    <row r="53" spans="5:5" x14ac:dyDescent="0.45">
      <c r="E53" s="1" t="e">
        <f>MIN(A1,A2,A3,A4,A5,A6,A7,A8)</f>
        <v>#N/A</v>
      </c>
    </row>
    <row r="54" spans="5:5" x14ac:dyDescent="0.45">
      <c r="E54" t="e">
        <f>MIN(Amounts)</f>
        <v>#N/A</v>
      </c>
    </row>
    <row r="55" spans="5:5" x14ac:dyDescent="0.45">
      <c r="E55">
        <f>MIN(Flag,2)</f>
        <v>1</v>
      </c>
    </row>
    <row r="56" spans="5:5" x14ac:dyDescent="0.45">
      <c r="E56" t="e">
        <f ca="1">MIN(INDIRECT("A1:A8"))</f>
        <v>#N/A</v>
      </c>
    </row>
    <row r="57" spans="5:5" x14ac:dyDescent="0.45">
      <c r="E57">
        <f>MIN(INDEX(A1:A8,6))</f>
        <v>0</v>
      </c>
    </row>
    <row r="58" spans="5:5" x14ac:dyDescent="0.45">
      <c r="E58">
        <f>MIN(INDEX(A1:A8,7))</f>
        <v>0</v>
      </c>
    </row>
    <row r="59" spans="5:5" x14ac:dyDescent="0.45">
      <c r="E59" t="e">
        <f>MIN(INDEX(A1:B8,0,1))</f>
        <v>#N/A</v>
      </c>
    </row>
    <row r="60" spans="5:5" x14ac:dyDescent="0.45">
      <c r="E60">
        <f>MIN(INDEX(A1:B8,2,0))</f>
        <v>4</v>
      </c>
    </row>
    <row r="61" spans="5:5" x14ac:dyDescent="0.45">
      <c r="E61" t="e">
        <f>MIN(A:A)</f>
        <v>#N/A</v>
      </c>
    </row>
    <row r="62" spans="5:5" x14ac:dyDescent="0.45">
      <c r="E62">
        <f>MIN(1,)</f>
        <v>0</v>
      </c>
    </row>
    <row r="63" spans="5:5" x14ac:dyDescent="0.45">
      <c r="E63">
        <f>MIN(Empty)</f>
        <v>0</v>
      </c>
    </row>
    <row r="64" spans="5:5" x14ac:dyDescent="0.45">
      <c r="E64" t="e">
        <f>MAX(A1:A8)</f>
        <v>#N/A</v>
      </c>
    </row>
    <row r="65" spans="5:5" x14ac:dyDescent="0.45">
      <c r="E65">
        <f>MAX(A1:A5)</f>
        <v>4</v>
      </c>
    </row>
    <row r="66" spans="5:5" x14ac:dyDescent="0.45">
      <c r="E66">
        <f>MAX(A7)</f>
        <v>0</v>
      </c>
    </row>
    <row r="67" spans="5:5" x14ac:dyDescent="0.45">
      <c r="E67">
        <f>MAX(A6)</f>
        <v>0</v>
      </c>
    </row>
    <row r="68" spans="5:5" x14ac:dyDescent="0.45">
      <c r="E68" t="e">
        <f>MAX(A8)</f>
        <v>#N/A</v>
      </c>
    </row>
    <row r="69" spans="5:5" x14ac:dyDescent="0.45">
      <c r="E69">
        <f>MAX(A9)</f>
        <v>0</v>
      </c>
    </row>
    <row r="70" spans="5:5" x14ac:dyDescent="0.45">
      <c r="E70">
        <f>MAX(TRUE,FALSE,"3",2)</f>
        <v>3</v>
      </c>
    </row>
    <row r="71" spans="5:5" x14ac:dyDescent="0.45">
      <c r="E71" t="e">
        <f>MAX("bad",2)</f>
        <v>#VALUE!</v>
      </c>
    </row>
    <row r="72" spans="5:5" x14ac:dyDescent="0.45">
      <c r="E72" t="e">
        <f>MAX("",2)</f>
        <v>#VALUE!</v>
      </c>
    </row>
    <row r="73" spans="5:5" x14ac:dyDescent="0.45">
      <c r="E73" t="e">
        <f>MAX(NA(),2)</f>
        <v>#N/A</v>
      </c>
    </row>
    <row r="74" spans="5:5" x14ac:dyDescent="0.45">
      <c r="E74" s="1" t="e">
        <f>MAX(A1,A2,A3,A4,A5,A6,A7,A8)</f>
        <v>#N/A</v>
      </c>
    </row>
    <row r="75" spans="5:5" x14ac:dyDescent="0.45">
      <c r="E75" t="e">
        <f>MAX(Amounts)</f>
        <v>#N/A</v>
      </c>
    </row>
    <row r="76" spans="5:5" x14ac:dyDescent="0.45">
      <c r="E76">
        <f>MAX(Flag,2)</f>
        <v>2</v>
      </c>
    </row>
    <row r="77" spans="5:5" x14ac:dyDescent="0.45">
      <c r="E77" t="e">
        <f ca="1">MAX(INDIRECT("A1:A8"))</f>
        <v>#N/A</v>
      </c>
    </row>
    <row r="78" spans="5:5" x14ac:dyDescent="0.45">
      <c r="E78">
        <f>MAX(INDEX(A1:A8,6))</f>
        <v>0</v>
      </c>
    </row>
    <row r="79" spans="5:5" x14ac:dyDescent="0.45">
      <c r="E79">
        <f>MAX(INDEX(A1:A8,7))</f>
        <v>0</v>
      </c>
    </row>
    <row r="80" spans="5:5" x14ac:dyDescent="0.45">
      <c r="E80" t="e">
        <f>MAX(INDEX(A1:B8,0,1))</f>
        <v>#N/A</v>
      </c>
    </row>
    <row r="81" spans="5:5" x14ac:dyDescent="0.45">
      <c r="E81">
        <f>MAX(INDEX(A1:B8,2,0))</f>
        <v>8</v>
      </c>
    </row>
    <row r="82" spans="5:5" x14ac:dyDescent="0.45">
      <c r="E82" t="e">
        <f>MAX(A:A)</f>
        <v>#N/A</v>
      </c>
    </row>
    <row r="83" spans="5:5" x14ac:dyDescent="0.45">
      <c r="E83">
        <f>MAX(1,)</f>
        <v>1</v>
      </c>
    </row>
    <row r="84" spans="5:5" x14ac:dyDescent="0.45">
      <c r="E84">
        <f>MAX(Empty)</f>
        <v>0</v>
      </c>
    </row>
    <row r="85" spans="5:5" x14ac:dyDescent="0.45">
      <c r="E85">
        <f>COUNT(A1:A8)</f>
        <v>2</v>
      </c>
    </row>
    <row r="86" spans="5:5" x14ac:dyDescent="0.45">
      <c r="E86">
        <f>COUNT(A1:A5)</f>
        <v>2</v>
      </c>
    </row>
    <row r="87" spans="5:5" x14ac:dyDescent="0.45">
      <c r="E87">
        <f>COUNT(A7)</f>
        <v>0</v>
      </c>
    </row>
    <row r="88" spans="5:5" x14ac:dyDescent="0.45">
      <c r="E88">
        <f>COUNT(A6)</f>
        <v>0</v>
      </c>
    </row>
    <row r="89" spans="5:5" x14ac:dyDescent="0.45">
      <c r="E89">
        <f>COUNT(A8)</f>
        <v>0</v>
      </c>
    </row>
    <row r="90" spans="5:5" x14ac:dyDescent="0.45">
      <c r="E90">
        <f>COUNT(A9)</f>
        <v>0</v>
      </c>
    </row>
    <row r="91" spans="5:5" x14ac:dyDescent="0.45">
      <c r="E91">
        <f>COUNT(TRUE,FALSE,"3",2)</f>
        <v>4</v>
      </c>
    </row>
    <row r="92" spans="5:5" x14ac:dyDescent="0.45">
      <c r="E92">
        <f>COUNT("bad",2)</f>
        <v>1</v>
      </c>
    </row>
    <row r="93" spans="5:5" x14ac:dyDescent="0.45">
      <c r="E93">
        <f>COUNT("",2)</f>
        <v>1</v>
      </c>
    </row>
    <row r="94" spans="5:5" x14ac:dyDescent="0.45">
      <c r="E94">
        <f>COUNT(NA(),2)</f>
        <v>1</v>
      </c>
    </row>
    <row r="95" spans="5:5" x14ac:dyDescent="0.45">
      <c r="E95">
        <f>COUNT(A1,A2,A3,A4,A5,A6,A7,A8)</f>
        <v>2</v>
      </c>
    </row>
    <row r="96" spans="5:5" x14ac:dyDescent="0.45">
      <c r="E96">
        <f>COUNT(Amounts)</f>
        <v>2</v>
      </c>
    </row>
    <row r="97" spans="5:5" x14ac:dyDescent="0.45">
      <c r="E97">
        <f>COUNT(Flag,2)</f>
        <v>2</v>
      </c>
    </row>
    <row r="98" spans="5:5" x14ac:dyDescent="0.45">
      <c r="E98">
        <f ca="1">COUNT(INDIRECT("A1:A8"))</f>
        <v>2</v>
      </c>
    </row>
    <row r="99" spans="5:5" x14ac:dyDescent="0.45">
      <c r="E99">
        <f>COUNT(INDEX(A1:A8,6))</f>
        <v>0</v>
      </c>
    </row>
    <row r="100" spans="5:5" x14ac:dyDescent="0.45">
      <c r="E100">
        <f>COUNT(INDEX(A1:A8,7))</f>
        <v>0</v>
      </c>
    </row>
    <row r="101" spans="5:5" x14ac:dyDescent="0.45">
      <c r="E101">
        <f>COUNT(INDEX(A1:B8,0,1))</f>
        <v>2</v>
      </c>
    </row>
    <row r="102" spans="5:5" x14ac:dyDescent="0.45">
      <c r="E102">
        <f>COUNT(INDEX(A1:B8,2,0))</f>
        <v>2</v>
      </c>
    </row>
    <row r="103" spans="5:5" x14ac:dyDescent="0.45">
      <c r="E103">
        <f>COUNT(A:A)</f>
        <v>2</v>
      </c>
    </row>
    <row r="104" spans="5:5" x14ac:dyDescent="0.45">
      <c r="E104">
        <f>COUNT(1,)</f>
        <v>2</v>
      </c>
    </row>
    <row r="105" spans="5:5" x14ac:dyDescent="0.45">
      <c r="E105">
        <f>COUNT(Empty)</f>
        <v>0</v>
      </c>
    </row>
    <row r="106" spans="5:5" x14ac:dyDescent="0.45">
      <c r="E106">
        <f>COUNTA(A1:A8)</f>
        <v>7</v>
      </c>
    </row>
    <row r="107" spans="5:5" x14ac:dyDescent="0.45">
      <c r="E107">
        <f>COUNTA(A1:A5)</f>
        <v>5</v>
      </c>
    </row>
    <row r="108" spans="5:5" x14ac:dyDescent="0.45">
      <c r="E108">
        <f>COUNTA(A7)</f>
        <v>1</v>
      </c>
    </row>
    <row r="109" spans="5:5" x14ac:dyDescent="0.45">
      <c r="E109">
        <f>COUNTA(A6)</f>
        <v>0</v>
      </c>
    </row>
    <row r="110" spans="5:5" x14ac:dyDescent="0.45">
      <c r="E110">
        <f>COUNTA(A8)</f>
        <v>1</v>
      </c>
    </row>
    <row r="111" spans="5:5" x14ac:dyDescent="0.45">
      <c r="E111">
        <f>COUNTA(A9)</f>
        <v>0</v>
      </c>
    </row>
    <row r="112" spans="5:5" x14ac:dyDescent="0.45">
      <c r="E112">
        <f>COUNTA(TRUE,FALSE,"3",2)</f>
        <v>4</v>
      </c>
    </row>
    <row r="113" spans="5:5" x14ac:dyDescent="0.45">
      <c r="E113">
        <f>COUNTA("bad",2)</f>
        <v>2</v>
      </c>
    </row>
    <row r="114" spans="5:5" x14ac:dyDescent="0.45">
      <c r="E114">
        <f>COUNTA("",2)</f>
        <v>2</v>
      </c>
    </row>
    <row r="115" spans="5:5" x14ac:dyDescent="0.45">
      <c r="E115">
        <f>COUNTA(NA(),2)</f>
        <v>2</v>
      </c>
    </row>
    <row r="116" spans="5:5" x14ac:dyDescent="0.45">
      <c r="E116">
        <f>COUNTA(A1,A2,A3,A4,A5,A6,A7,A8)</f>
        <v>7</v>
      </c>
    </row>
    <row r="117" spans="5:5" x14ac:dyDescent="0.45">
      <c r="E117">
        <f>COUNTA(Amounts)</f>
        <v>7</v>
      </c>
    </row>
    <row r="118" spans="5:5" x14ac:dyDescent="0.45">
      <c r="E118">
        <f>COUNTA(Flag,2)</f>
        <v>2</v>
      </c>
    </row>
    <row r="119" spans="5:5" x14ac:dyDescent="0.45">
      <c r="E119">
        <f ca="1">COUNTA(INDIRECT("A1:A8"))</f>
        <v>7</v>
      </c>
    </row>
    <row r="120" spans="5:5" x14ac:dyDescent="0.45">
      <c r="E120">
        <f>COUNTA(INDEX(A1:A8,6))</f>
        <v>0</v>
      </c>
    </row>
    <row r="121" spans="5:5" x14ac:dyDescent="0.45">
      <c r="E121">
        <f>COUNTA(INDEX(A1:A8,7))</f>
        <v>1</v>
      </c>
    </row>
    <row r="122" spans="5:5" x14ac:dyDescent="0.45">
      <c r="E122">
        <f>COUNTA(INDEX(A1:B8,0,1))</f>
        <v>7</v>
      </c>
    </row>
    <row r="123" spans="5:5" x14ac:dyDescent="0.45">
      <c r="E123">
        <f>COUNTA(INDEX(A1:B8,2,0))</f>
        <v>2</v>
      </c>
    </row>
    <row r="124" spans="5:5" x14ac:dyDescent="0.45">
      <c r="E124">
        <f>COUNTA(A:A)</f>
        <v>7</v>
      </c>
    </row>
    <row r="125" spans="5:5" x14ac:dyDescent="0.45">
      <c r="E125">
        <f>COUNTA(1,)</f>
        <v>2</v>
      </c>
    </row>
    <row r="126" spans="5:5" x14ac:dyDescent="0.45">
      <c r="E126">
        <f>COUNTA(Empty)</f>
        <v>0</v>
      </c>
    </row>
    <row r="127" spans="5:5" x14ac:dyDescent="0.45">
      <c r="E127">
        <f>COUNTA(1,"a","")</f>
        <v>3</v>
      </c>
    </row>
    <row r="128" spans="5:5" x14ac:dyDescent="0.45">
      <c r="E128" t="e">
        <f>AVERAGE("a")</f>
        <v>#VALUE!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Data Set</vt:lpstr>
      <vt:lpstr>Amounts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Klins Bitanji</dc:creator>
  <cp:lastModifiedBy>Klins Bitanji</cp:lastModifiedBy>
  <dcterms:created xsi:type="dcterms:W3CDTF">2026-09-09T03:10:06Z</dcterms:created>
  <dcterms:modified xsi:type="dcterms:W3CDTF">2026-09-09T03:10:08Z</dcterms:modified>
</cp:coreProperties>
</file>