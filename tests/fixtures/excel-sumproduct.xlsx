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ins\Desktop\Noffice\.local\excel-sumproduct\"/>
    </mc:Choice>
  </mc:AlternateContent>
  <bookViews>
    <workbookView xWindow="0" yWindow="0" windowWidth="16185" windowHeight="8235"/>
  </bookViews>
  <sheets>
    <sheet name="Data" sheetId="2" r:id="rId1"/>
    <sheet name="Calls" sheetId="1" r:id="rId2"/>
  </sheets>
  <definedNames>
    <definedName name="Matrix">Data!$A$1:$C$2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1" i="1"/>
  <c r="D9" i="1"/>
  <c r="D8" i="1"/>
  <c r="D7" i="1"/>
  <c r="D6" i="1"/>
  <c r="D5" i="1"/>
  <c r="D4" i="1"/>
  <c r="D3" i="1"/>
  <c r="D2" i="1"/>
  <c r="D1" i="1"/>
  <c r="C12" i="1"/>
  <c r="C11" i="1"/>
  <c r="C10" i="1"/>
  <c r="C8" i="1"/>
  <c r="C7" i="1"/>
  <c r="C6" i="1"/>
  <c r="C5" i="1"/>
  <c r="C4" i="1"/>
  <c r="C3" i="1"/>
  <c r="C2" i="1"/>
  <c r="C1" i="1"/>
  <c r="B12" i="1"/>
  <c r="B11" i="1"/>
  <c r="B10" i="1"/>
  <c r="B9" i="1"/>
  <c r="B8" i="1"/>
  <c r="B7" i="1"/>
  <c r="B6" i="1"/>
  <c r="B5" i="1"/>
  <c r="B4" i="1"/>
  <c r="B2" i="1"/>
  <c r="B1" i="1"/>
  <c r="A12" i="1"/>
  <c r="A11" i="1"/>
  <c r="A10" i="1"/>
  <c r="A9" i="1"/>
  <c r="A8" i="1"/>
  <c r="A7" i="1"/>
  <c r="A6" i="1"/>
  <c r="A5" i="1"/>
  <c r="A4" i="1"/>
  <c r="A3" i="1"/>
  <c r="A2" i="1"/>
  <c r="A1" i="1"/>
  <c r="G2" i="2"/>
  <c r="D10" i="1" s="1"/>
  <c r="E5" i="2"/>
  <c r="E3" i="2"/>
  <c r="B3" i="1" s="1"/>
  <c r="C9" i="1"/>
</calcChain>
</file>

<file path=xl/sharedStrings.xml><?xml version="1.0" encoding="utf-8"?>
<sst xmlns="http://schemas.openxmlformats.org/spreadsheetml/2006/main" count="4" uniqueCount="4">
  <si>
    <t>3</t>
  </si>
  <si>
    <t>x</t>
  </si>
  <si>
    <t>Qty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</si>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</sst>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Items" displayName="Items" ref="H1:I4" totalsRowShown="0">
  <autoFilter ref="H1:I4"/>
  <tableColumns count="2">
    <tableColumn id="1" name="Qty"/>
    <tableColumn id="2" name="Pri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/>
  </sheetViews>
  <sheetFormatPr baseColWidth="10" defaultRowHeight="14.25" x14ac:dyDescent="0.45"/>
  <sheetData>
    <row r="1" spans="1:9" x14ac:dyDescent="0.45">
      <c r="A1">
        <v>1</v>
      </c>
      <c r="B1">
        <v>2</v>
      </c>
      <c r="C1">
        <v>3</v>
      </c>
      <c r="E1">
        <v>2</v>
      </c>
      <c r="F1">
        <v>10</v>
      </c>
      <c r="G1" t="s">
        <v>1</v>
      </c>
      <c r="H1" t="s">
        <v>2</v>
      </c>
      <c r="I1" t="s">
        <v>3</v>
      </c>
    </row>
    <row r="2" spans="1:9" x14ac:dyDescent="0.45">
      <c r="A2">
        <v>4</v>
      </c>
      <c r="B2">
        <v>5</v>
      </c>
      <c r="C2">
        <v>6</v>
      </c>
      <c r="E2" s="1" t="s">
        <v>0</v>
      </c>
      <c r="F2">
        <v>20</v>
      </c>
      <c r="G2" t="str">
        <f>""</f>
        <v/>
      </c>
      <c r="H2">
        <v>1</v>
      </c>
      <c r="I2">
        <v>10</v>
      </c>
    </row>
    <row r="3" spans="1:9" x14ac:dyDescent="0.45">
      <c r="A3">
        <v>7</v>
      </c>
      <c r="B3">
        <v>8</v>
      </c>
      <c r="C3">
        <v>9</v>
      </c>
      <c r="E3" t="b">
        <f>TRUE()</f>
        <v>1</v>
      </c>
      <c r="F3">
        <v>30</v>
      </c>
      <c r="G3">
        <v>0</v>
      </c>
      <c r="H3">
        <v>2</v>
      </c>
      <c r="I3">
        <v>20</v>
      </c>
    </row>
    <row r="4" spans="1:9" x14ac:dyDescent="0.45">
      <c r="F4">
        <v>40</v>
      </c>
      <c r="H4">
        <v>3</v>
      </c>
      <c r="I4">
        <v>30</v>
      </c>
    </row>
    <row r="5" spans="1:9" x14ac:dyDescent="0.45">
      <c r="E5" t="e">
        <f>1/0</f>
        <v>#DIV/0!</v>
      </c>
      <c r="F5">
        <v>50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baseColWidth="10" defaultRowHeight="14.25" x14ac:dyDescent="0.45"/>
  <sheetData>
    <row r="1" spans="1:4" x14ac:dyDescent="0.45">
      <c r="A1">
        <f>SUMPRODUCT(Data!A1:A3,Data!B1:B3)</f>
        <v>78</v>
      </c>
      <c r="B1">
        <f>SUMPRODUCT(Data!A1:C1*Data!A1:A3)</f>
        <v>72</v>
      </c>
      <c r="C1" t="e">
        <f>SUMPRODUCT({1,2,3;4,5,6},{1,2;3,4;5,6})</f>
        <v>#VALUE!</v>
      </c>
      <c r="D1" t="e">
        <f>SUMPRODUCT(Data!A1:A3/Data!G1:G3)</f>
        <v>#VALUE!</v>
      </c>
    </row>
    <row r="2" spans="1:4" x14ac:dyDescent="0.45">
      <c r="A2">
        <f>SUMPRODUCT(Data!A1:C2,Data!A2:C3)</f>
        <v>154</v>
      </c>
      <c r="B2" t="e">
        <f>SUMPRODUCT(Data!A1:C2*Data!A1:B3)</f>
        <v>#N/A</v>
      </c>
      <c r="C2">
        <f>SUMPRODUCT({1,"2",TRUE}, {2,3,4})</f>
        <v>2</v>
      </c>
      <c r="D2">
        <f>SUMPRODUCT(-Data!A1:A3)</f>
        <v>-12</v>
      </c>
    </row>
    <row r="3" spans="1:4" x14ac:dyDescent="0.45">
      <c r="A3" t="e">
        <f>SUMPRODUCT(Data!A1:C2,Data!A1:B3)</f>
        <v>#VALUE!</v>
      </c>
      <c r="B3">
        <f>SUMPRODUCT(Data!E1:E4,Data!F1:F4)</f>
        <v>20</v>
      </c>
      <c r="C3">
        <f>SUMPRODUCT({1,"2",TRUE}*{2,3,4})</f>
        <v>12</v>
      </c>
      <c r="D3">
        <f>SUMPRODUCT(Data!A1:A3%)</f>
        <v>0.12000000000000001</v>
      </c>
    </row>
    <row r="4" spans="1:4" x14ac:dyDescent="0.45">
      <c r="A4" t="e">
        <f>SUMPRODUCT(Data!A1:A3,Data!A1:C1)</f>
        <v>#VALUE!</v>
      </c>
      <c r="B4">
        <f>SUMPRODUCT(Data!E1:E4*Data!F1:F4)</f>
        <v>110</v>
      </c>
      <c r="C4">
        <f>SUMPRODUCT(Matrix,Data!A2:C3)</f>
        <v>154</v>
      </c>
      <c r="D4">
        <f>SUMPRODUCT(Data!A1:A3&amp;"x")</f>
        <v>0</v>
      </c>
    </row>
    <row r="5" spans="1:4" x14ac:dyDescent="0.45">
      <c r="A5">
        <f>SUMPRODUCT(Data!A1:A3)</f>
        <v>12</v>
      </c>
      <c r="B5">
        <f>SUMPRODUCT(Data!G1:G3,Data!F1:F3)</f>
        <v>0</v>
      </c>
      <c r="C5">
        <f>SUMPRODUCT(Matrix*2)</f>
        <v>42</v>
      </c>
      <c r="D5">
        <f>SUMPRODUCT({1;2;3}+{10,20})</f>
        <v>102</v>
      </c>
    </row>
    <row r="6" spans="1:4" x14ac:dyDescent="0.45">
      <c r="A6" t="e">
        <f>SUMPRODUCT(Data!A1:A3,2)</f>
        <v>#VALUE!</v>
      </c>
      <c r="B6" t="e">
        <f>SUMPRODUCT(Data!G1:G3*Data!F1:F3)</f>
        <v>#VALUE!</v>
      </c>
      <c r="C6">
        <f>SUMPRODUCT(Items[Qty],Items[Price])</f>
        <v>140</v>
      </c>
      <c r="D6">
        <f>SUMPRODUCT(Data!A1:C2,Data!A2:C3,Data!A1:C2)</f>
        <v>714</v>
      </c>
    </row>
    <row r="7" spans="1:4" x14ac:dyDescent="0.45">
      <c r="A7">
        <f>SUMPRODUCT(Data!A1:A3*2)</f>
        <v>24</v>
      </c>
      <c r="B7" t="e">
        <f>SUMPRODUCT(Data!E1:E5,Data!F1:F5)</f>
        <v>#DIV/0!</v>
      </c>
      <c r="C7">
        <f>SUMPRODUCT(Items[Qty]*Items[Price])</f>
        <v>140</v>
      </c>
      <c r="D7">
        <f>SUMPRODUCT(Data!A1:A3=4)</f>
        <v>0</v>
      </c>
    </row>
    <row r="8" spans="1:4" x14ac:dyDescent="0.45">
      <c r="A8">
        <f>SUMPRODUCT((Data!A1:A3&gt;1)*Data!B1:B3)</f>
        <v>13</v>
      </c>
      <c r="B8" t="e">
        <f>SUMPRODUCT(0*Data!E1:E5)</f>
        <v>#DIV/0!</v>
      </c>
      <c r="C8">
        <f>SUMPRODUCT(INDEX(Data!A1:C3,0,2),Data!A1:A3)</f>
        <v>78</v>
      </c>
      <c r="D8">
        <f>SUMPRODUCT(--(Data!A1:A3=4))</f>
        <v>1</v>
      </c>
    </row>
    <row r="9" spans="1:4" x14ac:dyDescent="0.45">
      <c r="A9">
        <f>SUMPRODUCT(--(Data!A1:A3&gt;1),Data!B1:B3)</f>
        <v>13</v>
      </c>
      <c r="B9">
        <f>SUMPRODUCT(2,3)</f>
        <v>6</v>
      </c>
      <c r="C9">
        <f ca="1">SUMPRODUCT(INDIRECT("Data!A1:A3"),Data!B1:B3)</f>
        <v>78</v>
      </c>
      <c r="D9">
        <f>SUMPRODUCT(Data!E4*Data!F4)</f>
        <v>0</v>
      </c>
    </row>
    <row r="10" spans="1:4" x14ac:dyDescent="0.45">
      <c r="A10">
        <f>SUMPRODUCT(Data!A1:A3&gt;1,Data!B1:B3)</f>
        <v>0</v>
      </c>
      <c r="B10" t="e">
        <f>SUMPRODUCT(TRUE,3)</f>
        <v>#VALUE!</v>
      </c>
      <c r="C10">
        <f>IFERROR(SUMPRODUCT(Data!E1:E5),99)</f>
        <v>99</v>
      </c>
      <c r="D10" t="e">
        <f>SUMPRODUCT(Data!G2*Data!F2)</f>
        <v>#VALUE!</v>
      </c>
    </row>
    <row r="11" spans="1:4" x14ac:dyDescent="0.45">
      <c r="A11">
        <f>SUMPRODUCT(Data!A1:A3+Data!B1:B3)</f>
        <v>27</v>
      </c>
      <c r="B11" t="e">
        <f>SUMPRODUCT("2",3)</f>
        <v>#VALUE!</v>
      </c>
      <c r="C11" t="e">
        <f>SUMPRODUCT(IFERROR(Data!E1:E5,0),Data!F1:F5)</f>
        <v>#VALUE!</v>
      </c>
      <c r="D11" t="e">
        <f>SUMPRODUCT({1,#N/A},{0,0})</f>
        <v>#N/A</v>
      </c>
    </row>
    <row r="12" spans="1:4" x14ac:dyDescent="0.45">
      <c r="A12">
        <f>SUMPRODUCT(Data!A1:A3^2)</f>
        <v>66</v>
      </c>
      <c r="B12">
        <f>SUMPRODUCT({1,2;3,4},{5,6;7,8})</f>
        <v>70</v>
      </c>
      <c r="C12" t="e">
        <f>SUMPRODUCT(IF(Data!A1:A3&gt;1,Data!B1:B3,0))</f>
        <v>#VALUE!</v>
      </c>
      <c r="D12" t="e">
        <f>SUMPRODUCT({1;2}+{10;20;30})</f>
        <v>#N/A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Data</vt:lpstr>
      <vt:lpstr>Calls</vt:lpstr>
      <vt:lpstr>Matrix</vt:lpstr>
    </vt:vector>
  </TitlesOfParts>
  <Company>Noffice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Noffice</dc:creator>
  <cp:lastModifiedBy>Noffice</cp:lastModifiedBy>
  <dcterms:created xsi:type="dcterms:W3CDTF">2026-09-11T11:54:52Z</dcterms:created>
  <dcterms:modified xsi:type="dcterms:W3CDTF">2026-09-11T11:54:52Z</dcterms:modified>
</cp:coreProperties>
</file>